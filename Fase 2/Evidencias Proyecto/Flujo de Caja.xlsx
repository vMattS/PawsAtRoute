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ujos" sheetId="1" r:id="rId4"/>
    <sheet state="visible" name="Hoja1" sheetId="2" r:id="rId5"/>
  </sheets>
  <definedNames/>
  <calcPr/>
  <extLst>
    <ext uri="GoogleSheetsCustomDataVersion2">
      <go:sheetsCustomData xmlns:go="http://customooxmlschemas.google.com/" r:id="rId6" roundtripDataChecksum="WEDjy8Dz9h2I8w1Zd8h57CP+ThQAnr+wpjhkPUoEcFQ="/>
    </ext>
  </extLst>
</workbook>
</file>

<file path=xl/sharedStrings.xml><?xml version="1.0" encoding="utf-8"?>
<sst xmlns="http://schemas.openxmlformats.org/spreadsheetml/2006/main" count="101" uniqueCount="93">
  <si>
    <t>FORMULARIO FLUJO DE CAJA</t>
  </si>
  <si>
    <t>Todos los proyectos</t>
  </si>
  <si>
    <t>INGRESOS</t>
  </si>
  <si>
    <t>FLUJOS DE CAJA</t>
  </si>
  <si>
    <t>FICHA PROYECTO</t>
  </si>
  <si>
    <t>DASHBOARD ECONOMICO</t>
  </si>
  <si>
    <t>Sueldos Equipo Desarrollo</t>
  </si>
  <si>
    <t>Año 1</t>
  </si>
  <si>
    <t>Año 2</t>
  </si>
  <si>
    <t>Año 3</t>
  </si>
  <si>
    <t>Costo Proyecto</t>
  </si>
  <si>
    <t>Inversión</t>
  </si>
  <si>
    <t>Equipo</t>
  </si>
  <si>
    <t>Cargo</t>
  </si>
  <si>
    <t>Sueldo Mensual</t>
  </si>
  <si>
    <t>Valor Hora</t>
  </si>
  <si>
    <t>/H</t>
  </si>
  <si>
    <t>Cuota Cliente</t>
  </si>
  <si>
    <t>Rentabilidad</t>
  </si>
  <si>
    <t>Flujo Periodo 0</t>
  </si>
  <si>
    <t>Jois Rosales</t>
  </si>
  <si>
    <t>Frontend Developer</t>
  </si>
  <si>
    <t>Saldo Periodo Anterior</t>
  </si>
  <si>
    <t>Precio Venta</t>
  </si>
  <si>
    <t>Flujo Periodo 1</t>
  </si>
  <si>
    <t>Mario Benedetti</t>
  </si>
  <si>
    <t>Backend Developer</t>
  </si>
  <si>
    <t>Préstamos</t>
  </si>
  <si>
    <t>Flujo Periodo 2</t>
  </si>
  <si>
    <t>Mateo Sepúlveda</t>
  </si>
  <si>
    <t>Scrum Master</t>
  </si>
  <si>
    <t>inversion</t>
  </si>
  <si>
    <t xml:space="preserve">Capital Inicial </t>
  </si>
  <si>
    <t>Ingresos Anuales</t>
  </si>
  <si>
    <t>Total sueldos / mes</t>
  </si>
  <si>
    <t>Saldos Mensuales</t>
  </si>
  <si>
    <t>Préstamo</t>
  </si>
  <si>
    <t>Total sueldo / diario</t>
  </si>
  <si>
    <t>Cuotas</t>
  </si>
  <si>
    <t>Tasa</t>
  </si>
  <si>
    <t>Total sueldos / año</t>
  </si>
  <si>
    <t>Egresos</t>
  </si>
  <si>
    <t>Interes</t>
  </si>
  <si>
    <t>VAN</t>
  </si>
  <si>
    <t>Arriendos</t>
  </si>
  <si>
    <t>Valor Cuota</t>
  </si>
  <si>
    <t>TIR</t>
  </si>
  <si>
    <t>Sueldos</t>
  </si>
  <si>
    <t>Costo Crédito</t>
  </si>
  <si>
    <t>Servicios</t>
  </si>
  <si>
    <t>Cuota prestamo</t>
  </si>
  <si>
    <t>INVERSION</t>
  </si>
  <si>
    <t>Otros</t>
  </si>
  <si>
    <t>EGRESOS</t>
  </si>
  <si>
    <t>Nombre</t>
  </si>
  <si>
    <t>Costo</t>
  </si>
  <si>
    <t>Total Egresos</t>
  </si>
  <si>
    <t>Equipo Paws At Route</t>
  </si>
  <si>
    <t>SALDO</t>
  </si>
  <si>
    <t>Flujo</t>
  </si>
  <si>
    <t>Registro de Dominio + Hosting</t>
  </si>
  <si>
    <t>Registro de Marca</t>
  </si>
  <si>
    <t>Marketing digital y posicionamiento</t>
  </si>
  <si>
    <t>Estudio de Mercado</t>
  </si>
  <si>
    <t>Implementación y pruebas</t>
  </si>
  <si>
    <t>Total Otros</t>
  </si>
  <si>
    <t>Otros años 2,3</t>
  </si>
  <si>
    <t>Mantenimiento App Móvil</t>
  </si>
  <si>
    <t>Mantenimiento Página Web (admin)</t>
  </si>
  <si>
    <t>Registro de marca (renovación y protección)</t>
  </si>
  <si>
    <t>Egreso Gasto</t>
  </si>
  <si>
    <t>Arriendo, sueldo, servicios</t>
  </si>
  <si>
    <t>Egreso Costo</t>
  </si>
  <si>
    <t xml:space="preserve">Implementos tecnológicos y materiales 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</si>
  <si>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</si>
  <si>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</si>
  <si>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</si>
  <si>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</si>
  <si>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</si>
  <si>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</si>
  <si>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</si>
  <si>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</si>
  <si>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</si>
  <si>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</si>
  <si>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</si>
  <si>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</si>
  <si>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SaaS</t>
  </si>
  <si>
    <t>Pago por uso</t>
  </si>
  <si>
    <t>Mensual</t>
  </si>
  <si>
    <t>Proyecto</t>
  </si>
  <si>
    <t>Cliente</t>
  </si>
  <si>
    <t>Licencia</t>
  </si>
  <si>
    <t>Por Proyecto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</si>
</sst>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 * #,##0_ ;_ * \-#,##0_ ;_ * &quot;-&quot;_ ;_ @_ "/>
    <numFmt numFmtId="165" formatCode="[$$]#,##0"/>
    <numFmt numFmtId="166" formatCode="_ * #,##0.00_ ;_ * \-#,##0.00_ ;_ * &quot;-&quot;_ ;_ @_ "/>
    <numFmt numFmtId="167" formatCode="_ &quot;$&quot;* #,##0_ ;_ &quot;$&quot;* \-#,##0_ ;_ &quot;$&quot;* &quot;-&quot;_ ;_ @_ "/>
  </numFmts>
  <fonts count="14">
    <font>
      <sz val="11.0"/>
      <color theme="1"/>
      <name val="Calibri"/>
      <scheme val="minor"/>
    </font>
    <font>
      <b/>
      <sz val="14.0"/>
      <color theme="1"/>
      <name val="Calibri"/>
    </font>
    <font>
      <b/>
      <sz val="11.0"/>
      <color theme="1"/>
      <name val="Calibri"/>
    </font>
    <font/>
    <font>
      <b/>
      <sz val="11.0"/>
      <color theme="1"/>
      <name val="Arial"/>
    </font>
    <font>
      <b/>
      <sz val="12.0"/>
      <color theme="1"/>
      <name val="Calibri"/>
    </font>
    <font>
      <sz val="11.0"/>
      <color theme="1"/>
      <name val="Calibri"/>
    </font>
    <font>
      <sz val="11.0"/>
      <color theme="1"/>
      <name val="Arial"/>
    </font>
    <font>
      <b/>
      <sz val="11.0"/>
      <color rgb="FFFF000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rgb="FF000000"/>
      <name val="Arial Narrow"/>
    </font>
    <font>
      <sz val="11.0"/>
      <color theme="1"/>
      <name val="Arial Narrow"/>
    </font>
    <font>
      <sz val="11.0"/>
      <color rgb="FFFF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C9DAF8"/>
        <bgColor rgb="FFC9DAF8"/>
      </patternFill>
    </fill>
    <fill>
      <patternFill patternType="solid">
        <fgColor rgb="FFFFE598"/>
        <bgColor rgb="FFFFE598"/>
      </patternFill>
    </fill>
  </fills>
  <borders count="47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medium">
        <color rgb="FF000000"/>
      </left>
      <right/>
      <top style="thick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2" fontId="4" numFmtId="0" xfId="0" applyAlignment="1" applyBorder="1" applyFont="1">
      <alignment horizontal="center"/>
    </xf>
    <xf borderId="8" fillId="0" fontId="3" numFmtId="0" xfId="0" applyBorder="1" applyFont="1"/>
    <xf borderId="9" fillId="0" fontId="3" numFmtId="0" xfId="0" applyBorder="1" applyFont="1"/>
    <xf borderId="10" fillId="0" fontId="5" numFmtId="0" xfId="0" applyAlignment="1" applyBorder="1" applyFont="1">
      <alignment horizontal="center"/>
    </xf>
    <xf borderId="11" fillId="0" fontId="5" numFmtId="0" xfId="0" applyAlignment="1" applyBorder="1" applyFont="1">
      <alignment horizontal="center"/>
    </xf>
    <xf borderId="12" fillId="0" fontId="5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13" fillId="2" fontId="6" numFmtId="0" xfId="0" applyBorder="1" applyFont="1"/>
    <xf borderId="14" fillId="2" fontId="6" numFmtId="164" xfId="0" applyBorder="1" applyFont="1" applyNumberFormat="1"/>
    <xf borderId="0" fillId="0" fontId="6" numFmtId="164" xfId="0" applyFont="1" applyNumberFormat="1"/>
    <xf borderId="15" fillId="0" fontId="6" numFmtId="0" xfId="0" applyBorder="1" applyFont="1"/>
    <xf borderId="15" fillId="0" fontId="6" numFmtId="164" xfId="0" applyBorder="1" applyFont="1" applyNumberFormat="1"/>
    <xf borderId="16" fillId="3" fontId="4" numFmtId="0" xfId="0" applyBorder="1" applyFill="1" applyFont="1"/>
    <xf borderId="17" fillId="3" fontId="4" numFmtId="0" xfId="0" applyBorder="1" applyFont="1"/>
    <xf borderId="17" fillId="3" fontId="4" numFmtId="0" xfId="0" applyAlignment="1" applyBorder="1" applyFont="1">
      <alignment horizontal="right"/>
    </xf>
    <xf borderId="18" fillId="0" fontId="6" numFmtId="0" xfId="0" applyAlignment="1" applyBorder="1" applyFont="1">
      <alignment horizontal="center"/>
    </xf>
    <xf borderId="15" fillId="0" fontId="6" numFmtId="165" xfId="0" applyAlignment="1" applyBorder="1" applyFont="1" applyNumberFormat="1">
      <alignment readingOrder="0"/>
    </xf>
    <xf borderId="19" fillId="0" fontId="6" numFmtId="165" xfId="0" applyAlignment="1" applyBorder="1" applyFont="1" applyNumberFormat="1">
      <alignment readingOrder="0"/>
    </xf>
    <xf borderId="0" fillId="0" fontId="6" numFmtId="165" xfId="0" applyFont="1" applyNumberFormat="1"/>
    <xf borderId="20" fillId="0" fontId="6" numFmtId="0" xfId="0" applyBorder="1" applyFont="1"/>
    <xf borderId="21" fillId="0" fontId="6" numFmtId="166" xfId="0" applyBorder="1" applyFont="1" applyNumberFormat="1"/>
    <xf borderId="22" fillId="0" fontId="6" numFmtId="0" xfId="0" applyBorder="1" applyFont="1"/>
    <xf borderId="22" fillId="0" fontId="6" numFmtId="164" xfId="0" applyBorder="1" applyFont="1" applyNumberFormat="1"/>
    <xf borderId="22" fillId="0" fontId="7" numFmtId="0" xfId="0" applyAlignment="1" applyBorder="1" applyFont="1">
      <alignment readingOrder="0"/>
    </xf>
    <xf borderId="22" fillId="0" fontId="7" numFmtId="165" xfId="0" applyAlignment="1" applyBorder="1" applyFont="1" applyNumberFormat="1">
      <alignment readingOrder="0"/>
    </xf>
    <xf borderId="22" fillId="0" fontId="7" numFmtId="0" xfId="0" applyBorder="1" applyFont="1"/>
    <xf borderId="23" fillId="0" fontId="6" numFmtId="0" xfId="0" applyAlignment="1" applyBorder="1" applyFont="1">
      <alignment horizontal="center"/>
    </xf>
    <xf borderId="22" fillId="0" fontId="6" numFmtId="165" xfId="0" applyBorder="1" applyFont="1" applyNumberFormat="1"/>
    <xf borderId="22" fillId="0" fontId="6" numFmtId="165" xfId="0" applyAlignment="1" applyBorder="1" applyFont="1" applyNumberFormat="1">
      <alignment readingOrder="0"/>
    </xf>
    <xf borderId="24" fillId="0" fontId="6" numFmtId="165" xfId="0" applyAlignment="1" applyBorder="1" applyFont="1" applyNumberFormat="1">
      <alignment readingOrder="0"/>
    </xf>
    <xf borderId="20" fillId="4" fontId="6" numFmtId="0" xfId="0" applyBorder="1" applyFill="1" applyFont="1"/>
    <xf borderId="21" fillId="4" fontId="6" numFmtId="164" xfId="0" applyBorder="1" applyFont="1" applyNumberFormat="1"/>
    <xf borderId="24" fillId="0" fontId="6" numFmtId="165" xfId="0" applyBorder="1" applyFont="1" applyNumberFormat="1"/>
    <xf borderId="21" fillId="0" fontId="6" numFmtId="164" xfId="0" applyBorder="1" applyFont="1" applyNumberFormat="1"/>
    <xf borderId="23" fillId="0" fontId="6" numFmtId="0" xfId="0" applyBorder="1" applyFont="1"/>
    <xf borderId="0" fillId="0" fontId="7" numFmtId="0" xfId="0" applyFont="1"/>
    <xf borderId="25" fillId="0" fontId="6" numFmtId="0" xfId="0" applyBorder="1" applyFont="1"/>
    <xf borderId="26" fillId="0" fontId="6" numFmtId="165" xfId="0" applyAlignment="1" applyBorder="1" applyFont="1" applyNumberFormat="1">
      <alignment readingOrder="0"/>
    </xf>
    <xf borderId="27" fillId="0" fontId="6" numFmtId="165" xfId="0" applyAlignment="1" applyBorder="1" applyFont="1" applyNumberFormat="1">
      <alignment readingOrder="0"/>
    </xf>
    <xf borderId="26" fillId="0" fontId="6" numFmtId="165" xfId="0" applyBorder="1" applyFont="1" applyNumberFormat="1"/>
    <xf borderId="27" fillId="0" fontId="6" numFmtId="165" xfId="0" applyBorder="1" applyFont="1" applyNumberFormat="1"/>
    <xf borderId="0" fillId="0" fontId="8" numFmtId="0" xfId="0" applyAlignment="1" applyFont="1">
      <alignment horizontal="center"/>
    </xf>
    <xf borderId="22" fillId="0" fontId="7" numFmtId="165" xfId="0" applyAlignment="1" applyBorder="1" applyFont="1" applyNumberFormat="1">
      <alignment horizontal="right"/>
    </xf>
    <xf borderId="0" fillId="0" fontId="7" numFmtId="0" xfId="0" applyAlignment="1" applyFont="1">
      <alignment horizontal="right"/>
    </xf>
    <xf borderId="28" fillId="5" fontId="6" numFmtId="0" xfId="0" applyBorder="1" applyFill="1" applyFont="1"/>
    <xf borderId="29" fillId="5" fontId="6" numFmtId="165" xfId="0" applyBorder="1" applyFont="1" applyNumberFormat="1"/>
    <xf borderId="30" fillId="5" fontId="6" numFmtId="165" xfId="0" applyBorder="1" applyFont="1" applyNumberFormat="1"/>
    <xf borderId="20" fillId="2" fontId="6" numFmtId="0" xfId="0" applyAlignment="1" applyBorder="1" applyFont="1">
      <alignment horizontal="center"/>
    </xf>
    <xf borderId="21" fillId="2" fontId="6" numFmtId="164" xfId="0" applyBorder="1" applyFont="1" applyNumberFormat="1"/>
    <xf borderId="20" fillId="0" fontId="6" numFmtId="0" xfId="0" applyAlignment="1" applyBorder="1" applyFont="1">
      <alignment horizontal="center"/>
    </xf>
    <xf borderId="22" fillId="0" fontId="6" numFmtId="0" xfId="0" applyAlignment="1" applyBorder="1" applyFont="1">
      <alignment horizontal="center"/>
    </xf>
    <xf borderId="0" fillId="0" fontId="6" numFmtId="9" xfId="0" applyFont="1" applyNumberFormat="1"/>
    <xf borderId="31" fillId="0" fontId="7" numFmtId="0" xfId="0" applyBorder="1" applyFont="1"/>
    <xf borderId="22" fillId="0" fontId="7" numFmtId="165" xfId="0" applyBorder="1" applyFont="1" applyNumberFormat="1"/>
    <xf borderId="18" fillId="0" fontId="2" numFmtId="0" xfId="0" applyAlignment="1" applyBorder="1" applyFont="1">
      <alignment horizontal="center"/>
    </xf>
    <xf borderId="32" fillId="0" fontId="3" numFmtId="0" xfId="0" applyBorder="1" applyFont="1"/>
    <xf borderId="33" fillId="0" fontId="3" numFmtId="0" xfId="0" applyBorder="1" applyFont="1"/>
    <xf borderId="0" fillId="0" fontId="6" numFmtId="166" xfId="0" applyFont="1" applyNumberFormat="1"/>
    <xf borderId="22" fillId="0" fontId="6" numFmtId="164" xfId="0" applyAlignment="1" applyBorder="1" applyFont="1" applyNumberFormat="1">
      <alignment horizontal="center"/>
    </xf>
    <xf borderId="34" fillId="0" fontId="6" numFmtId="0" xfId="0" applyAlignment="1" applyBorder="1" applyFont="1">
      <alignment horizontal="center"/>
    </xf>
    <xf borderId="22" fillId="0" fontId="6" numFmtId="9" xfId="0" applyAlignment="1" applyBorder="1" applyFont="1" applyNumberFormat="1">
      <alignment horizontal="center"/>
    </xf>
    <xf borderId="0" fillId="6" fontId="4" numFmtId="0" xfId="0" applyAlignment="1" applyFill="1" applyFont="1">
      <alignment horizontal="center"/>
    </xf>
    <xf borderId="35" fillId="0" fontId="6" numFmtId="0" xfId="0" applyAlignment="1" applyBorder="1" applyFont="1">
      <alignment horizontal="center"/>
    </xf>
    <xf borderId="36" fillId="0" fontId="6" numFmtId="164" xfId="0" applyBorder="1" applyFont="1" applyNumberFormat="1"/>
    <xf borderId="0" fillId="6" fontId="4" numFmtId="0" xfId="0" applyFont="1"/>
    <xf borderId="0" fillId="6" fontId="4" numFmtId="0" xfId="0" applyAlignment="1" applyFont="1">
      <alignment horizontal="right"/>
    </xf>
    <xf borderId="0" fillId="6" fontId="7" numFmtId="0" xfId="0" applyFont="1"/>
    <xf borderId="0" fillId="6" fontId="7" numFmtId="165" xfId="0" applyAlignment="1" applyFont="1" applyNumberFormat="1">
      <alignment horizontal="right"/>
    </xf>
    <xf borderId="0" fillId="6" fontId="7" numFmtId="165" xfId="0" applyFont="1" applyNumberFormat="1"/>
    <xf borderId="7" fillId="7" fontId="9" numFmtId="0" xfId="0" applyAlignment="1" applyBorder="1" applyFill="1" applyFont="1">
      <alignment horizontal="center" readingOrder="0" shrinkToFit="0" vertical="bottom" wrapText="0"/>
    </xf>
    <xf borderId="22" fillId="8" fontId="10" numFmtId="0" xfId="0" applyAlignment="1" applyBorder="1" applyFill="1" applyFont="1">
      <alignment horizontal="center" readingOrder="0"/>
    </xf>
    <xf borderId="37" fillId="8" fontId="10" numFmtId="0" xfId="0" applyAlignment="1" applyBorder="1" applyFont="1">
      <alignment horizontal="center" readingOrder="0"/>
    </xf>
    <xf borderId="38" fillId="9" fontId="6" numFmtId="0" xfId="0" applyBorder="1" applyFill="1" applyFont="1"/>
    <xf borderId="39" fillId="9" fontId="6" numFmtId="165" xfId="0" applyBorder="1" applyFont="1" applyNumberFormat="1"/>
    <xf borderId="40" fillId="9" fontId="6" numFmtId="165" xfId="0" applyBorder="1" applyFont="1" applyNumberFormat="1"/>
    <xf borderId="15" fillId="0" fontId="10" numFmtId="0" xfId="0" applyAlignment="1" applyBorder="1" applyFont="1">
      <alignment readingOrder="0" vertical="bottom"/>
    </xf>
    <xf borderId="37" fillId="0" fontId="10" numFmtId="3" xfId="0" applyAlignment="1" applyBorder="1" applyFont="1" applyNumberFormat="1">
      <alignment horizontal="right" readingOrder="0" vertical="bottom"/>
    </xf>
    <xf borderId="0" fillId="6" fontId="6" numFmtId="0" xfId="0" applyAlignment="1" applyFont="1">
      <alignment shrinkToFit="0" wrapText="1"/>
    </xf>
    <xf borderId="0" fillId="6" fontId="6" numFmtId="3" xfId="0" applyAlignment="1" applyFont="1" applyNumberFormat="1">
      <alignment horizontal="right" shrinkToFit="0" wrapText="1"/>
    </xf>
    <xf borderId="41" fillId="5" fontId="2" numFmtId="0" xfId="0" applyBorder="1" applyFont="1"/>
    <xf borderId="29" fillId="5" fontId="2" numFmtId="165" xfId="0" applyBorder="1" applyFont="1" applyNumberFormat="1"/>
    <xf borderId="30" fillId="5" fontId="2" numFmtId="165" xfId="0" applyBorder="1" applyFont="1" applyNumberFormat="1"/>
    <xf borderId="0" fillId="0" fontId="6" numFmtId="0" xfId="0" applyAlignment="1" applyFont="1">
      <alignment shrinkToFit="0" wrapText="1"/>
    </xf>
    <xf borderId="26" fillId="0" fontId="2" numFmtId="0" xfId="0" applyAlignment="1" applyBorder="1" applyFont="1">
      <alignment horizontal="center" vertical="center"/>
    </xf>
    <xf borderId="7" fillId="0" fontId="6" numFmtId="0" xfId="0" applyAlignment="1" applyBorder="1" applyFont="1">
      <alignment horizontal="left" readingOrder="0" shrinkToFit="0" wrapText="1"/>
    </xf>
    <xf borderId="22" fillId="0" fontId="11" numFmtId="165" xfId="0" applyAlignment="1" applyBorder="1" applyFont="1" applyNumberFormat="1">
      <alignment horizontal="right" readingOrder="0"/>
    </xf>
    <xf borderId="42" fillId="0" fontId="3" numFmtId="0" xfId="0" applyBorder="1" applyFont="1"/>
    <xf borderId="7" fillId="0" fontId="6" numFmtId="0" xfId="0" applyAlignment="1" applyBorder="1" applyFont="1">
      <alignment readingOrder="0"/>
    </xf>
    <xf borderId="15" fillId="0" fontId="3" numFmtId="0" xfId="0" applyBorder="1" applyFont="1"/>
    <xf borderId="22" fillId="0" fontId="12" numFmtId="165" xfId="0" applyAlignment="1" applyBorder="1" applyFont="1" applyNumberFormat="1">
      <alignment horizontal="right" readingOrder="0" vertical="center"/>
    </xf>
    <xf borderId="43" fillId="5" fontId="2" numFmtId="0" xfId="0" applyAlignment="1" applyBorder="1" applyFont="1">
      <alignment horizontal="left"/>
    </xf>
    <xf borderId="44" fillId="0" fontId="3" numFmtId="0" xfId="0" applyBorder="1" applyFont="1"/>
    <xf borderId="45" fillId="0" fontId="3" numFmtId="0" xfId="0" applyBorder="1" applyFont="1"/>
    <xf borderId="16" fillId="5" fontId="2" numFmtId="165" xfId="0" applyAlignment="1" applyBorder="1" applyFont="1" applyNumberFormat="1">
      <alignment horizontal="right"/>
    </xf>
    <xf borderId="0" fillId="0" fontId="2" numFmtId="0" xfId="0" applyAlignment="1" applyFont="1">
      <alignment horizontal="left"/>
    </xf>
    <xf borderId="0" fillId="0" fontId="2" numFmtId="3" xfId="0" applyAlignment="1" applyFont="1" applyNumberFormat="1">
      <alignment horizontal="right"/>
    </xf>
    <xf borderId="7" fillId="5" fontId="2" numFmtId="0" xfId="0" applyAlignment="1" applyBorder="1" applyFont="1">
      <alignment horizontal="left"/>
    </xf>
    <xf borderId="22" fillId="5" fontId="2" numFmtId="167" xfId="0" applyAlignment="1" applyBorder="1" applyFont="1" applyNumberFormat="1">
      <alignment horizontal="right"/>
    </xf>
    <xf borderId="0" fillId="0" fontId="2" numFmtId="0" xfId="0" applyFont="1"/>
    <xf borderId="0" fillId="0" fontId="6" numFmtId="0" xfId="0" applyAlignment="1" applyFont="1">
      <alignment horizontal="left"/>
    </xf>
    <xf borderId="0" fillId="0" fontId="6" numFmtId="3" xfId="0" applyFont="1" applyNumberFormat="1"/>
    <xf borderId="0" fillId="0" fontId="6" numFmtId="0" xfId="0" applyFont="1"/>
    <xf borderId="46" fillId="4" fontId="1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1.43"/>
    <col customWidth="1" min="3" max="3" width="14.29"/>
    <col customWidth="1" min="4" max="4" width="17.57"/>
    <col customWidth="1" min="5" max="5" width="20.14"/>
    <col customWidth="1" min="6" max="6" width="12.86"/>
    <col customWidth="1" min="7" max="7" width="14.29"/>
    <col customWidth="1" min="9" max="9" width="14.29"/>
    <col customWidth="1" min="10" max="10" width="13.71"/>
    <col customWidth="1" min="11" max="11" width="12.14"/>
    <col customWidth="1" min="12" max="12" width="24.14"/>
    <col customWidth="1" min="13" max="13" width="12.43"/>
    <col customWidth="1" min="14" max="14" width="4.86"/>
    <col customWidth="1" min="15" max="16" width="10.71"/>
    <col customWidth="1" min="17" max="17" width="32.57"/>
    <col customWidth="1" min="18" max="18" width="20.71"/>
    <col customWidth="1" min="19" max="19" width="17.14"/>
    <col customWidth="1" min="20" max="20" width="11.57"/>
    <col customWidth="1" min="21" max="21" width="6.0"/>
    <col customWidth="1" min="22" max="26" width="10.71"/>
  </cols>
  <sheetData>
    <row r="1" ht="15.0" customHeight="1">
      <c r="B1" s="1" t="s">
        <v>0</v>
      </c>
    </row>
    <row r="2" ht="15.0" customHeight="1">
      <c r="B2" s="1" t="s">
        <v>1</v>
      </c>
    </row>
    <row r="3" ht="15.0" customHeight="1">
      <c r="B3" s="1"/>
      <c r="C3" s="1"/>
      <c r="D3" s="1"/>
      <c r="E3" s="1"/>
      <c r="F3" s="1"/>
      <c r="G3" s="1"/>
      <c r="H3" s="1"/>
      <c r="I3" s="1"/>
    </row>
    <row r="4" ht="15.0" customHeight="1">
      <c r="B4" s="2" t="s">
        <v>2</v>
      </c>
    </row>
    <row r="5">
      <c r="C5" s="3" t="s">
        <v>3</v>
      </c>
      <c r="D5" s="4"/>
      <c r="E5" s="5"/>
      <c r="F5" s="2"/>
      <c r="G5" s="2"/>
      <c r="I5" s="6" t="s">
        <v>4</v>
      </c>
      <c r="J5" s="7"/>
      <c r="L5" s="6" t="s">
        <v>5</v>
      </c>
      <c r="M5" s="8"/>
      <c r="N5" s="2"/>
      <c r="Q5" s="9" t="s">
        <v>6</v>
      </c>
      <c r="R5" s="10"/>
      <c r="S5" s="10"/>
      <c r="T5" s="10"/>
      <c r="U5" s="11"/>
    </row>
    <row r="6">
      <c r="C6" s="12" t="s">
        <v>7</v>
      </c>
      <c r="D6" s="13" t="s">
        <v>8</v>
      </c>
      <c r="E6" s="14" t="s">
        <v>9</v>
      </c>
      <c r="F6" s="15"/>
      <c r="G6" s="15"/>
      <c r="I6" s="16" t="s">
        <v>10</v>
      </c>
      <c r="J6" s="17">
        <f>G21</f>
        <v>36800000</v>
      </c>
      <c r="K6" s="18"/>
      <c r="L6" s="19" t="s">
        <v>11</v>
      </c>
      <c r="M6" s="20">
        <f>(J13*-1)+(-M21)</f>
        <v>-1500000</v>
      </c>
      <c r="Q6" s="21" t="s">
        <v>12</v>
      </c>
      <c r="R6" s="22" t="s">
        <v>13</v>
      </c>
      <c r="S6" s="22" t="s">
        <v>14</v>
      </c>
      <c r="T6" s="23" t="s">
        <v>15</v>
      </c>
      <c r="U6" s="22" t="s">
        <v>16</v>
      </c>
    </row>
    <row r="7">
      <c r="B7" s="24" t="s">
        <v>17</v>
      </c>
      <c r="C7" s="25">
        <v>8000000.0</v>
      </c>
      <c r="D7" s="25">
        <v>1.5E7</v>
      </c>
      <c r="E7" s="26">
        <v>2.4E7</v>
      </c>
      <c r="F7" s="27"/>
      <c r="G7" s="27"/>
      <c r="I7" s="28" t="s">
        <v>18</v>
      </c>
      <c r="J7" s="29">
        <v>0.5</v>
      </c>
      <c r="K7" s="18"/>
      <c r="L7" s="30" t="s">
        <v>19</v>
      </c>
      <c r="M7" s="31">
        <f>+C23</f>
        <v>1000000</v>
      </c>
      <c r="Q7" s="32" t="s">
        <v>20</v>
      </c>
      <c r="R7" s="32" t="s">
        <v>21</v>
      </c>
      <c r="S7" s="33">
        <v>520000.0</v>
      </c>
      <c r="T7" s="33">
        <v>2625.0</v>
      </c>
      <c r="U7" s="34" t="s">
        <v>16</v>
      </c>
    </row>
    <row r="8">
      <c r="B8" s="35" t="s">
        <v>22</v>
      </c>
      <c r="C8" s="36">
        <v>0.0</v>
      </c>
      <c r="D8" s="37">
        <v>1000000.0</v>
      </c>
      <c r="E8" s="38">
        <v>5000000.0</v>
      </c>
      <c r="F8" s="27"/>
      <c r="G8" s="27"/>
      <c r="I8" s="39" t="s">
        <v>23</v>
      </c>
      <c r="J8" s="40">
        <f>+J6*(1+J7)</f>
        <v>55200000</v>
      </c>
      <c r="K8" s="18"/>
      <c r="L8" s="30" t="s">
        <v>24</v>
      </c>
      <c r="M8" s="31">
        <f>+D23</f>
        <v>3700000</v>
      </c>
      <c r="Q8" s="32" t="s">
        <v>25</v>
      </c>
      <c r="R8" s="32" t="s">
        <v>26</v>
      </c>
      <c r="S8" s="33">
        <v>520000.0</v>
      </c>
      <c r="T8" s="33">
        <v>2625.0</v>
      </c>
      <c r="U8" s="34" t="s">
        <v>16</v>
      </c>
    </row>
    <row r="9">
      <c r="B9" s="35" t="s">
        <v>27</v>
      </c>
      <c r="C9" s="37">
        <v>2000000.0</v>
      </c>
      <c r="D9" s="36">
        <v>0.0</v>
      </c>
      <c r="E9" s="41">
        <v>0.0</v>
      </c>
      <c r="F9" s="27"/>
      <c r="G9" s="27"/>
      <c r="I9" s="28" t="s">
        <v>18</v>
      </c>
      <c r="J9" s="42">
        <f>+J8-J6</f>
        <v>18400000</v>
      </c>
      <c r="K9" s="18"/>
      <c r="L9" s="30" t="s">
        <v>28</v>
      </c>
      <c r="M9" s="31">
        <f>+E23</f>
        <v>15000000</v>
      </c>
      <c r="Q9" s="32" t="s">
        <v>29</v>
      </c>
      <c r="R9" s="32" t="s">
        <v>30</v>
      </c>
      <c r="S9" s="33">
        <v>480000.0</v>
      </c>
      <c r="T9" s="33">
        <v>2250.0</v>
      </c>
      <c r="U9" s="34" t="s">
        <v>16</v>
      </c>
    </row>
    <row r="10">
      <c r="B10" s="43" t="s">
        <v>31</v>
      </c>
      <c r="C10" s="37">
        <v>1500000.0</v>
      </c>
      <c r="D10" s="36">
        <v>0.0</v>
      </c>
      <c r="E10" s="41">
        <v>0.0</v>
      </c>
      <c r="F10" s="27"/>
      <c r="G10" s="27"/>
      <c r="I10" s="28"/>
      <c r="J10" s="42"/>
      <c r="K10" s="18"/>
      <c r="L10" s="30"/>
      <c r="M10" s="31"/>
      <c r="Q10" s="44"/>
      <c r="R10" s="44"/>
      <c r="S10" s="44"/>
      <c r="T10" s="44"/>
      <c r="U10" s="44"/>
    </row>
    <row r="11">
      <c r="B11" s="45" t="s">
        <v>32</v>
      </c>
      <c r="C11" s="46">
        <v>0.0</v>
      </c>
      <c r="D11" s="46">
        <v>0.0</v>
      </c>
      <c r="E11" s="47">
        <v>0.0</v>
      </c>
      <c r="F11" s="27"/>
      <c r="G11" s="27"/>
      <c r="I11" s="28"/>
      <c r="J11" s="42"/>
      <c r="K11" s="18"/>
      <c r="L11" s="30"/>
      <c r="M11" s="31"/>
      <c r="Q11" s="44"/>
      <c r="R11" s="44"/>
      <c r="S11" s="44"/>
      <c r="T11" s="44"/>
      <c r="U11" s="44"/>
    </row>
    <row r="12">
      <c r="B12" s="45" t="s">
        <v>33</v>
      </c>
      <c r="C12" s="48">
        <f t="shared" ref="C12:E12" si="1">SUM(C7:C11)</f>
        <v>11500000</v>
      </c>
      <c r="D12" s="48">
        <f t="shared" si="1"/>
        <v>16000000</v>
      </c>
      <c r="E12" s="49">
        <f t="shared" si="1"/>
        <v>29000000</v>
      </c>
      <c r="G12" s="50" t="s">
        <v>2</v>
      </c>
      <c r="I12" s="28"/>
      <c r="J12" s="42"/>
      <c r="K12" s="18"/>
      <c r="L12" s="30"/>
      <c r="M12" s="31"/>
      <c r="Q12" s="44"/>
      <c r="R12" s="34" t="s">
        <v>34</v>
      </c>
      <c r="S12" s="51">
        <f>SUM(S7:S10)</f>
        <v>1520000</v>
      </c>
      <c r="T12" s="52"/>
      <c r="U12" s="44"/>
    </row>
    <row r="13">
      <c r="B13" s="53" t="s">
        <v>35</v>
      </c>
      <c r="C13" s="54">
        <f>+C12</f>
        <v>11500000</v>
      </c>
      <c r="D13" s="54">
        <f t="shared" ref="D13:E13" si="2">D12</f>
        <v>16000000</v>
      </c>
      <c r="E13" s="55">
        <f t="shared" si="2"/>
        <v>29000000</v>
      </c>
      <c r="G13" s="27">
        <f>SUM(C13,D13,E13)</f>
        <v>56500000</v>
      </c>
      <c r="I13" s="56" t="s">
        <v>36</v>
      </c>
      <c r="J13" s="57">
        <v>0.0</v>
      </c>
      <c r="K13" s="18"/>
      <c r="L13" s="30"/>
      <c r="M13" s="30"/>
      <c r="Q13" s="44"/>
      <c r="R13" s="34" t="s">
        <v>37</v>
      </c>
      <c r="S13" s="51">
        <f>8*T7</f>
        <v>21000</v>
      </c>
      <c r="T13" s="44"/>
      <c r="U13" s="44"/>
    </row>
    <row r="14">
      <c r="C14" s="18"/>
      <c r="D14" s="18"/>
      <c r="E14" s="18"/>
      <c r="I14" s="58" t="s">
        <v>38</v>
      </c>
      <c r="J14" s="42">
        <v>12.0</v>
      </c>
      <c r="K14" s="18"/>
      <c r="L14" s="30" t="s">
        <v>39</v>
      </c>
      <c r="M14" s="59">
        <v>18.0</v>
      </c>
      <c r="N14" s="60">
        <f>+M14/100</f>
        <v>0.18</v>
      </c>
      <c r="Q14" s="61"/>
      <c r="R14" s="34" t="s">
        <v>40</v>
      </c>
      <c r="S14" s="62">
        <f>S12*12</f>
        <v>18240000</v>
      </c>
      <c r="T14" s="44"/>
      <c r="U14" s="44"/>
    </row>
    <row r="15">
      <c r="B15" s="63" t="s">
        <v>41</v>
      </c>
      <c r="C15" s="64"/>
      <c r="D15" s="64"/>
      <c r="E15" s="65"/>
      <c r="I15" s="58" t="s">
        <v>42</v>
      </c>
      <c r="J15" s="29">
        <f>M14/J14</f>
        <v>1.5</v>
      </c>
      <c r="K15" s="66"/>
      <c r="L15" s="30" t="s">
        <v>43</v>
      </c>
      <c r="M15" s="67">
        <f t="array" ref="M15">NPV(N14,C23,D23,E23)-J13</f>
        <v>12634203.11</v>
      </c>
      <c r="Q15" s="44"/>
      <c r="R15" s="44"/>
      <c r="S15" s="44"/>
      <c r="T15" s="44"/>
      <c r="U15" s="44"/>
    </row>
    <row r="16">
      <c r="B16" s="68" t="s">
        <v>44</v>
      </c>
      <c r="C16" s="37">
        <v>600000.0</v>
      </c>
      <c r="D16" s="37">
        <v>600000.0</v>
      </c>
      <c r="E16" s="38">
        <v>600000.0</v>
      </c>
      <c r="I16" s="58" t="s">
        <v>45</v>
      </c>
      <c r="J16" s="42">
        <f>(J13/J14)*J15</f>
        <v>0</v>
      </c>
      <c r="K16" s="18"/>
      <c r="L16" s="30" t="s">
        <v>46</v>
      </c>
      <c r="M16" s="69">
        <f>IRR(M6:M9)*0</f>
        <v>0</v>
      </c>
      <c r="Q16" s="70"/>
      <c r="R16" s="70"/>
      <c r="S16" s="70"/>
      <c r="T16" s="70"/>
      <c r="U16" s="70"/>
    </row>
    <row r="17">
      <c r="B17" s="68" t="s">
        <v>47</v>
      </c>
      <c r="C17" s="37">
        <v>7200000.0</v>
      </c>
      <c r="D17" s="38">
        <v>8400000.0</v>
      </c>
      <c r="E17" s="38">
        <v>9600000.0</v>
      </c>
      <c r="I17" s="71" t="s">
        <v>48</v>
      </c>
      <c r="J17" s="72">
        <f>+J16*J14</f>
        <v>0</v>
      </c>
      <c r="K17" s="18"/>
      <c r="Q17" s="73"/>
      <c r="R17" s="73"/>
      <c r="S17" s="73"/>
      <c r="T17" s="74"/>
      <c r="U17" s="73"/>
    </row>
    <row r="18">
      <c r="B18" s="68" t="s">
        <v>49</v>
      </c>
      <c r="C18" s="37">
        <v>1200000.0</v>
      </c>
      <c r="D18" s="37">
        <v>1500000.0</v>
      </c>
      <c r="E18" s="38">
        <v>1800000.0</v>
      </c>
      <c r="Q18" s="75"/>
      <c r="R18" s="75"/>
      <c r="S18" s="76"/>
      <c r="T18" s="77"/>
      <c r="U18" s="75"/>
    </row>
    <row r="19">
      <c r="B19" s="68" t="s">
        <v>50</v>
      </c>
      <c r="C19" s="36">
        <v>0.0</v>
      </c>
      <c r="D19" s="36">
        <v>0.0</v>
      </c>
      <c r="E19" s="41">
        <v>0.0</v>
      </c>
      <c r="L19" s="78" t="s">
        <v>51</v>
      </c>
      <c r="M19" s="11"/>
      <c r="Q19" s="75"/>
      <c r="R19" s="75"/>
      <c r="S19" s="75"/>
      <c r="T19" s="75"/>
      <c r="U19" s="75"/>
    </row>
    <row r="20">
      <c r="B20" s="68" t="s">
        <v>52</v>
      </c>
      <c r="C20" s="37">
        <v>1500000.0</v>
      </c>
      <c r="D20" s="37">
        <v>1800000.0</v>
      </c>
      <c r="E20" s="38">
        <v>2000000.0</v>
      </c>
      <c r="G20" s="50" t="s">
        <v>53</v>
      </c>
      <c r="K20" s="18"/>
      <c r="L20" s="79" t="s">
        <v>54</v>
      </c>
      <c r="M20" s="80" t="s">
        <v>55</v>
      </c>
      <c r="Q20" s="75"/>
      <c r="R20" s="75"/>
      <c r="S20" s="77"/>
      <c r="T20" s="75"/>
      <c r="U20" s="75"/>
    </row>
    <row r="21">
      <c r="B21" s="81" t="s">
        <v>56</v>
      </c>
      <c r="C21" s="82">
        <f t="shared" ref="C21:E21" si="3">SUM(C16:C20)</f>
        <v>10500000</v>
      </c>
      <c r="D21" s="82">
        <f t="shared" si="3"/>
        <v>12300000</v>
      </c>
      <c r="E21" s="83">
        <f t="shared" si="3"/>
        <v>14000000</v>
      </c>
      <c r="G21" s="27">
        <f>SUM(C21:E21)</f>
        <v>36800000</v>
      </c>
      <c r="K21" s="60"/>
      <c r="L21" s="84" t="s">
        <v>57</v>
      </c>
      <c r="M21" s="85">
        <v>1500000.0</v>
      </c>
    </row>
    <row r="22">
      <c r="C22" s="18"/>
      <c r="D22" s="18"/>
      <c r="E22" s="18"/>
      <c r="G22" s="50" t="s">
        <v>58</v>
      </c>
      <c r="L22" s="86"/>
      <c r="M22" s="87"/>
    </row>
    <row r="23">
      <c r="B23" s="88" t="s">
        <v>59</v>
      </c>
      <c r="C23" s="89">
        <f t="shared" ref="C23:E23" si="4">+C13-C21</f>
        <v>1000000</v>
      </c>
      <c r="D23" s="89">
        <f t="shared" si="4"/>
        <v>3700000</v>
      </c>
      <c r="E23" s="90">
        <f t="shared" si="4"/>
        <v>15000000</v>
      </c>
      <c r="G23" s="27">
        <f>+G13-G21</f>
        <v>19700000</v>
      </c>
      <c r="L23" s="86"/>
      <c r="M23" s="87"/>
    </row>
    <row r="24" ht="15.75" customHeight="1">
      <c r="L24" s="91"/>
      <c r="M24" s="91"/>
    </row>
    <row r="25" ht="15.75" customHeight="1">
      <c r="B25" s="92" t="s">
        <v>52</v>
      </c>
      <c r="C25" s="93" t="s">
        <v>60</v>
      </c>
      <c r="D25" s="10"/>
      <c r="E25" s="10"/>
      <c r="F25" s="11"/>
      <c r="G25" s="94">
        <v>300000.0</v>
      </c>
      <c r="L25" s="91"/>
      <c r="M25" s="91"/>
    </row>
    <row r="26" ht="15.75" customHeight="1">
      <c r="B26" s="95"/>
      <c r="C26" s="93" t="s">
        <v>61</v>
      </c>
      <c r="D26" s="10"/>
      <c r="E26" s="10"/>
      <c r="F26" s="11"/>
      <c r="G26" s="94">
        <v>150000.0</v>
      </c>
      <c r="L26" s="91"/>
      <c r="M26" s="91"/>
    </row>
    <row r="27" ht="15.75" customHeight="1">
      <c r="B27" s="95"/>
      <c r="C27" s="93" t="s">
        <v>62</v>
      </c>
      <c r="D27" s="10"/>
      <c r="E27" s="10"/>
      <c r="F27" s="11"/>
      <c r="G27" s="94">
        <v>400000.0</v>
      </c>
      <c r="L27" s="91"/>
      <c r="M27" s="91"/>
    </row>
    <row r="28" ht="15.75" customHeight="1">
      <c r="B28" s="95"/>
      <c r="C28" s="96" t="s">
        <v>63</v>
      </c>
      <c r="D28" s="10"/>
      <c r="E28" s="10"/>
      <c r="F28" s="11"/>
      <c r="G28" s="94">
        <v>200000.0</v>
      </c>
      <c r="L28" s="91"/>
      <c r="M28" s="91"/>
    </row>
    <row r="29" ht="15.75" customHeight="1">
      <c r="B29" s="97"/>
      <c r="C29" s="96" t="s">
        <v>64</v>
      </c>
      <c r="D29" s="10"/>
      <c r="E29" s="10"/>
      <c r="F29" s="11"/>
      <c r="G29" s="98">
        <v>300000.0</v>
      </c>
      <c r="L29" s="91"/>
      <c r="M29" s="91"/>
    </row>
    <row r="30" ht="15.75" customHeight="1">
      <c r="C30" s="99" t="s">
        <v>65</v>
      </c>
      <c r="D30" s="100"/>
      <c r="E30" s="100"/>
      <c r="F30" s="101"/>
      <c r="G30" s="102">
        <f>SUM(G25:G29)</f>
        <v>1350000</v>
      </c>
      <c r="L30" s="91"/>
      <c r="M30" s="91"/>
    </row>
    <row r="31" ht="15.75" customHeight="1">
      <c r="C31" s="103"/>
      <c r="D31" s="103"/>
      <c r="E31" s="103"/>
      <c r="F31" s="103"/>
      <c r="G31" s="104"/>
      <c r="L31" s="91"/>
      <c r="M31" s="91"/>
    </row>
    <row r="32" ht="15.75" customHeight="1">
      <c r="C32" s="103"/>
      <c r="D32" s="103"/>
      <c r="E32" s="103"/>
      <c r="F32" s="103"/>
      <c r="G32" s="104"/>
      <c r="L32" s="91"/>
      <c r="M32" s="91"/>
    </row>
    <row r="33" ht="15.75" customHeight="1">
      <c r="C33" s="103"/>
      <c r="D33" s="103"/>
      <c r="E33" s="103"/>
      <c r="F33" s="103"/>
      <c r="G33" s="104"/>
      <c r="L33" s="91"/>
      <c r="M33" s="91"/>
    </row>
    <row r="34" ht="15.75" customHeight="1">
      <c r="B34" s="92" t="s">
        <v>66</v>
      </c>
      <c r="C34" s="93" t="s">
        <v>67</v>
      </c>
      <c r="D34" s="10"/>
      <c r="E34" s="10"/>
      <c r="F34" s="11"/>
      <c r="G34" s="94">
        <v>400000.0</v>
      </c>
      <c r="L34" s="91"/>
      <c r="M34" s="91"/>
    </row>
    <row r="35" ht="15.75" customHeight="1">
      <c r="B35" s="95"/>
      <c r="C35" s="96" t="s">
        <v>68</v>
      </c>
      <c r="D35" s="10"/>
      <c r="E35" s="10"/>
      <c r="F35" s="11"/>
      <c r="G35" s="94">
        <v>200000.0</v>
      </c>
      <c r="L35" s="91"/>
      <c r="M35" s="91"/>
    </row>
    <row r="36" ht="15.75" customHeight="1">
      <c r="B36" s="95"/>
      <c r="C36" s="96" t="s">
        <v>69</v>
      </c>
      <c r="D36" s="10"/>
      <c r="E36" s="10"/>
      <c r="F36" s="11"/>
      <c r="G36" s="94">
        <v>100000.0</v>
      </c>
    </row>
    <row r="37" ht="15.75" customHeight="1">
      <c r="B37" s="97"/>
      <c r="C37" s="96" t="s">
        <v>60</v>
      </c>
      <c r="D37" s="10"/>
      <c r="E37" s="10"/>
      <c r="F37" s="11"/>
      <c r="G37" s="94">
        <v>350000.0</v>
      </c>
    </row>
    <row r="38" ht="15.75" customHeight="1">
      <c r="C38" s="105" t="s">
        <v>65</v>
      </c>
      <c r="D38" s="10"/>
      <c r="E38" s="10"/>
      <c r="F38" s="11"/>
      <c r="G38" s="106">
        <f>SUM(G34:G37)</f>
        <v>1050000</v>
      </c>
    </row>
    <row r="39" ht="15.75" customHeight="1"/>
    <row r="40" ht="15.75" customHeight="1">
      <c r="B40" s="107" t="s">
        <v>70</v>
      </c>
      <c r="C40" s="108" t="s">
        <v>71</v>
      </c>
    </row>
    <row r="41" ht="15.75" customHeight="1">
      <c r="B41" s="107" t="s">
        <v>72</v>
      </c>
      <c r="C41" s="108" t="s">
        <v>73</v>
      </c>
    </row>
    <row r="42" ht="15.75" customHeight="1">
      <c r="C42" s="109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B1:J1"/>
    <mergeCell ref="B2:J2"/>
    <mergeCell ref="B4:G4"/>
    <mergeCell ref="C5:E5"/>
    <mergeCell ref="I5:J5"/>
    <mergeCell ref="L5:M5"/>
    <mergeCell ref="Q5:U5"/>
    <mergeCell ref="C28:F28"/>
    <mergeCell ref="C29:F29"/>
    <mergeCell ref="B15:E15"/>
    <mergeCell ref="C25:F25"/>
    <mergeCell ref="C26:F26"/>
    <mergeCell ref="C27:F27"/>
    <mergeCell ref="B25:B29"/>
    <mergeCell ref="L19:M19"/>
    <mergeCell ref="C38:F38"/>
    <mergeCell ref="C40:F40"/>
    <mergeCell ref="C41:F41"/>
    <mergeCell ref="C30:F30"/>
    <mergeCell ref="C34:F34"/>
    <mergeCell ref="C35:F35"/>
    <mergeCell ref="C36:F36"/>
    <mergeCell ref="B34:B37"/>
    <mergeCell ref="C37:F37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2" width="10.71"/>
    <col customWidth="1" min="23" max="23" width="12.0"/>
    <col customWidth="1" min="24" max="26" width="10.71"/>
  </cols>
  <sheetData>
    <row r="3">
      <c r="K3" s="110" t="s">
        <v>74</v>
      </c>
      <c r="L3" s="110" t="s">
        <v>75</v>
      </c>
      <c r="M3" s="110" t="s">
        <v>76</v>
      </c>
      <c r="N3" s="110" t="s">
        <v>77</v>
      </c>
      <c r="O3" s="110" t="s">
        <v>78</v>
      </c>
      <c r="P3" s="110" t="s">
        <v>79</v>
      </c>
      <c r="Q3" s="110" t="s">
        <v>80</v>
      </c>
      <c r="R3" s="110" t="s">
        <v>81</v>
      </c>
      <c r="S3" s="110" t="s">
        <v>82</v>
      </c>
      <c r="T3" s="110" t="s">
        <v>83</v>
      </c>
      <c r="U3" s="110" t="s">
        <v>84</v>
      </c>
      <c r="V3" s="110" t="s">
        <v>85</v>
      </c>
    </row>
    <row r="4">
      <c r="E4" s="111" t="s">
        <v>86</v>
      </c>
      <c r="F4" s="110" t="s">
        <v>87</v>
      </c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</row>
    <row r="5">
      <c r="I5" s="110" t="s">
        <v>88</v>
      </c>
      <c r="J5" s="18">
        <v>50000.0</v>
      </c>
      <c r="K5" s="18">
        <f t="shared" ref="K5:V5" si="1">+$J$5*K6</f>
        <v>100000</v>
      </c>
      <c r="L5" s="18">
        <f t="shared" si="1"/>
        <v>150000</v>
      </c>
      <c r="M5" s="18">
        <f t="shared" si="1"/>
        <v>200000</v>
      </c>
      <c r="N5" s="18">
        <f t="shared" si="1"/>
        <v>150000</v>
      </c>
      <c r="O5" s="18">
        <f t="shared" si="1"/>
        <v>150000</v>
      </c>
      <c r="P5" s="18">
        <f t="shared" si="1"/>
        <v>200000</v>
      </c>
      <c r="Q5" s="18">
        <f t="shared" si="1"/>
        <v>200000</v>
      </c>
      <c r="R5" s="18">
        <f t="shared" si="1"/>
        <v>200000</v>
      </c>
      <c r="S5" s="18">
        <f t="shared" si="1"/>
        <v>0</v>
      </c>
      <c r="T5" s="18">
        <f t="shared" si="1"/>
        <v>0</v>
      </c>
      <c r="U5" s="18">
        <f t="shared" si="1"/>
        <v>0</v>
      </c>
      <c r="V5" s="18">
        <f t="shared" si="1"/>
        <v>0</v>
      </c>
      <c r="W5" s="18">
        <f>SUM(K5:V5)</f>
        <v>1350000</v>
      </c>
    </row>
    <row r="6">
      <c r="F6" s="110" t="s">
        <v>89</v>
      </c>
      <c r="G6" s="18">
        <v>5000000.0</v>
      </c>
      <c r="I6" s="110" t="s">
        <v>90</v>
      </c>
      <c r="J6" s="18">
        <f>+G6/J5</f>
        <v>100</v>
      </c>
      <c r="K6" s="18">
        <v>2.0</v>
      </c>
      <c r="L6" s="18">
        <v>3.0</v>
      </c>
      <c r="M6" s="18">
        <v>4.0</v>
      </c>
      <c r="N6" s="18">
        <v>3.0</v>
      </c>
      <c r="O6" s="18">
        <v>3.0</v>
      </c>
      <c r="P6" s="18">
        <v>4.0</v>
      </c>
      <c r="Q6" s="18">
        <v>4.0</v>
      </c>
      <c r="R6" s="18">
        <v>4.0</v>
      </c>
      <c r="S6" s="18"/>
      <c r="T6" s="18"/>
      <c r="U6" s="18"/>
      <c r="V6" s="18"/>
      <c r="W6" s="18"/>
    </row>
    <row r="7"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</row>
    <row r="8"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</row>
    <row r="9">
      <c r="E9" s="110" t="s">
        <v>91</v>
      </c>
      <c r="J9" s="18">
        <v>500000.0</v>
      </c>
      <c r="K9" s="18">
        <v>500000.0</v>
      </c>
      <c r="L9" s="18">
        <v>500000.0</v>
      </c>
      <c r="M9" s="18">
        <v>500000.0</v>
      </c>
      <c r="N9" s="18">
        <v>500000.0</v>
      </c>
      <c r="O9" s="18">
        <v>500000.0</v>
      </c>
      <c r="P9" s="18">
        <v>500000.0</v>
      </c>
      <c r="Q9" s="18">
        <v>500000.0</v>
      </c>
      <c r="R9" s="18">
        <v>500000.0</v>
      </c>
      <c r="S9" s="18">
        <v>500000.0</v>
      </c>
      <c r="T9" s="18">
        <v>500000.0</v>
      </c>
      <c r="U9" s="18">
        <v>500000.0</v>
      </c>
      <c r="V9" s="18">
        <v>500000.0</v>
      </c>
      <c r="W9" s="18">
        <f>SUM(K9:V9)</f>
        <v>6000000</v>
      </c>
    </row>
    <row r="12">
      <c r="E12" s="110" t="s">
        <v>92</v>
      </c>
      <c r="J12" s="110">
        <v>5000000.0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2022-10-18T13:55:40Z</dcterms:created>
  <dc:creator>CETECOM</dc:creator>
</cp:coreProperties>
</file>